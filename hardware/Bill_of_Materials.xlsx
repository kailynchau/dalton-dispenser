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\School\Year 4\W2021\ENGG 502\Parts\Deliverables\Bill of Materials\"/>
    </mc:Choice>
  </mc:AlternateContent>
  <xr:revisionPtr revIDLastSave="0" documentId="13_ncr:1_{DD1AEC1E-D63B-4590-AD30-8D30AC0C31F3}" xr6:coauthVersionLast="45" xr6:coauthVersionMax="45" xr10:uidLastSave="{00000000-0000-0000-0000-000000000000}"/>
  <bookViews>
    <workbookView xWindow="-28920" yWindow="-120" windowWidth="29040" windowHeight="15990" xr2:uid="{13826007-C54F-4511-822A-602EF36ED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0" i="1" l="1"/>
  <c r="D9" i="1"/>
  <c r="D10" i="1"/>
  <c r="D8" i="1"/>
  <c r="D7" i="1"/>
  <c r="D6" i="1"/>
  <c r="D4" i="1"/>
  <c r="D3" i="1"/>
  <c r="D5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<sst xmlns="http://schemas.openxmlformats.org/spreadsheetml/2006/main" count="40" uniqueCount="40">
  <si>
    <t>Quantity</t>
  </si>
  <si>
    <t>Item</t>
  </si>
  <si>
    <t>Ender3 3D printer</t>
  </si>
  <si>
    <t>Link</t>
  </si>
  <si>
    <t>Arduino Mega 2560</t>
  </si>
  <si>
    <t>M5 x 250mm threaded rod</t>
  </si>
  <si>
    <t>https://www.walmart.ca/en/ip/Unique-Bargains-Fully-Threaded-Rod-M5-Dia-250mm-Length-Right-Hand-Thread-304-Stainless-Steel/PRD4WC4D1PM3VVG</t>
  </si>
  <si>
    <t>Cost per part (CAD)</t>
  </si>
  <si>
    <t>Total cost (CAD)</t>
  </si>
  <si>
    <t>https://www.amazon.ca/Official-Creality-3D-Ender-Printer/dp/B07CJ5PFVP/ref=sr_1_5?dchild=1&amp;keywords=Ender+3+3D+Printer&amp;qid=1619208400&amp;sr=8-5</t>
  </si>
  <si>
    <t>Raspberry Pi 3B+ starter kit</t>
  </si>
  <si>
    <t>https://www.amazon.ca/CanaKit-Raspberry-Starter-Premium-Black/dp/B07BCC8PK7/ref=sr_1_5?dchild=1&amp;keywords=pi+3b%2B&amp;qid=1619208474&amp;sr=8-5</t>
  </si>
  <si>
    <t>https://www.amazon.ca/LYSB01H4ZDYCE-ELECTRNCSMEGA-ATmega2560-ATMEGA16U2-Compatible-Arduino/dp/B01H4ZDYCE/ref=sr_1_3?dchild=1&amp;dd=UODUPvvOns4uRMHJmYVNyQ%2C%2C&amp;ddc_refnmnt=pfod&amp;keywords=Arduino%2BMega%2B2560&amp;qid=1619208468&amp;refinements=p_97%3A14479221011&amp;rnid=14479220011&amp;sr=8-3&amp;th=1</t>
  </si>
  <si>
    <t>PG35S-D48-HHC2 geared stepper motor</t>
  </si>
  <si>
    <t>https://www.digikey.ca/en/products/detail/PG35S-D48-HHC2/P14336-ND/2417060?utm_medium=email&amp;utm_source=oce&amp;utm_campaign=3480_OCE21RT&amp;utm_content=productdetail_CA&amp;utm_cid=1237999&amp;so=67541715&amp;mkt_tok=eyJpIjoiT1dVNE1EWTFaak00Wm1VMyIsInQiOiJGUFJOTWlJXC9aRE9uMVwvbERabDk0RzJiZllqUWJPSHA0alwvK2ZCclwvS2Y1SlpmWHJyODlEN3c5alNqMjg1SHZKYWxNSWlUZTRlclA2V1wvUU9aZHkyQWYyNmpDdnFoak9VcjlVOEdQT3dMT3dCaTdIRU1PYlQwZktnK01IbDZ5UmRLIn0%3D</t>
  </si>
  <si>
    <t>https://www.amazon.ca/Expansion-Stepper-Drivers-Arduino-Engraving/dp/B074CHXJF4/ref=sr_1_7?dchild=1&amp;keywords=arduino+cnc+shield&amp;qid=1619208933&amp;sr=8-7</t>
  </si>
  <si>
    <t>Arduino CNC shield kit</t>
  </si>
  <si>
    <t>https://www.bearingscanada.com/8mm-Bearing-Bushing-LM8UU-8mm-Inner-Diameter-p/8-bushing-lm8uu-8-inner.htm</t>
  </si>
  <si>
    <t>LM8UU ball bushing</t>
  </si>
  <si>
    <t>https://www.bearingscanada.com/8mm-Shaft-10-Hardened-Rod-Linear-Motion-p/kit14127.htm</t>
  </si>
  <si>
    <t>8mm x 250mm smooth rod</t>
  </si>
  <si>
    <t>Raspberry Pi Camera w/ IMX477 sensor</t>
  </si>
  <si>
    <t>5mm to 5mm flexible coupling (5pcs)</t>
  </si>
  <si>
    <t>605zz (5x5x14mm) ball bearing (10pcs)</t>
  </si>
  <si>
    <t>https://www.amazon.ca/gp/product/B07VTKYF73/ref=ppx_od_dt_b_asin_title_s00?ie=UTF8&amp;psc=1</t>
  </si>
  <si>
    <t>https://www.amazon.ca/gp/product/B088NH3ZS5/ref=ppx_od_dt_b_asin_title_s00?ie=UTF8&amp;psc=1</t>
  </si>
  <si>
    <t>https://www.amazon.ca/gp/product/B07MH2YWQF/ref=ppx_od_dt_b_asin_title_s00?ie=UTF8&amp;psc=1</t>
  </si>
  <si>
    <t xml:space="preserve">15pin flat flexible cable 100cm </t>
  </si>
  <si>
    <t>Emergency stop button</t>
  </si>
  <si>
    <t>https://www.amazon.ca/gp/product/B00NTT91Y0/ref=ppx_od_dt_b_asin_title_s00?ie=UTF8&amp;psc=1</t>
  </si>
  <si>
    <t>https://www.amazon.ca/gp/product/B07DNYM8KC/ref=ppx_od_dt_b_asin_title_s01?ie=UTF8&amp;psc=1</t>
  </si>
  <si>
    <t>40x40mm 24v fan</t>
  </si>
  <si>
    <t>https://www.amazon.ca/MagiDeal-2Pieces-Ultra-silent-40mmx40mmx10mm-Brushless/dp/B0746CVVX8/ref=sr_1_11?dchild=1&amp;keywords=24v+fan+40mm&amp;qid=1619209763&amp;s=electronics&amp;sr=1-11</t>
  </si>
  <si>
    <t>LM2596 buck converter (5pcs)</t>
  </si>
  <si>
    <t>https://www.amazon.ca/Yizhet-Efficiency-Regulator-Converter-Adjustable/dp/B08Q2YKJ6Q/ref=sr_1_4?dchild=1&amp;keywords=buck+converter&amp;qid=1619209798&amp;s=electronics&amp;sr=1-4</t>
  </si>
  <si>
    <t>Activated carbon filters (12 pcs)</t>
  </si>
  <si>
    <t>https://www.amazon.ca/Pieces-Activated-Filters-Compost-Replacement/dp/B076J7PN8W/ref=sr_1_16?dchild=1&amp;keywords=carbon+filter&amp;qid=1619209838&amp;sr=8-16</t>
  </si>
  <si>
    <t>Total</t>
  </si>
  <si>
    <t>10-15 of each</t>
  </si>
  <si>
    <t>M3, M4, M5 nuts and bolts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</si>
</sst>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3188-2B68-4D78-93A7-E867CF561628}">
  <dimension ref="A1:E39"/>
  <sheetViews>
    <sheetView tabSelected="1" zoomScale="145" zoomScaleNormal="145" workbookViewId="0">
      <selection activeCell="B22" sqref="B22"/>
    </sheetView>
  </sheetViews>
  <sheetFormatPr defaultRowHeight="15" x14ac:dyDescent="0.25"/>
  <cols>
    <col min="1" max="1" width="36.42578125" customWidth="1"/>
    <col min="2" max="2" width="15.42578125" customWidth="1"/>
    <col min="3" max="3" width="21.28515625" customWidth="1"/>
    <col min="4" max="5" width="19.5703125" customWidth="1"/>
    <col min="6" max="6" width="20.42578125" customWidth="1"/>
    <col min="7" max="7" width="16.42578125" customWidth="1"/>
  </cols>
  <sheetData>
    <row r="1" spans="1:5" x14ac:dyDescent="0.25">
      <c r="A1" s="4" t="s">
        <v>1</v>
      </c>
      <c r="B1" s="1" t="s">
        <v>0</v>
      </c>
      <c r="C1" s="1" t="s">
        <v>7</v>
      </c>
      <c r="D1" s="1" t="s">
        <v>8</v>
      </c>
      <c r="E1" s="1" t="s">
        <v>3</v>
      </c>
    </row>
    <row r="2" spans="1:5" x14ac:dyDescent="0.25">
      <c r="A2" s="3" t="s">
        <v>2</v>
      </c>
      <c r="B2" s="2">
        <v>1</v>
      </c>
      <c r="C2" s="5">
        <v>282.99</v>
      </c>
      <c r="D2" s="5">
        <f>B2*C2</f>
        <v>282.99</v>
      </c>
      <c r="E2" t="s">
        <v>9</v>
      </c>
    </row>
    <row r="3" spans="1:5" x14ac:dyDescent="0.25">
      <c r="A3" s="3" t="s">
        <v>4</v>
      </c>
      <c r="B3" s="2">
        <v>1</v>
      </c>
      <c r="C3" s="5">
        <v>19.989999999999998</v>
      </c>
      <c r="D3" s="5">
        <f t="shared" ref="D3:D17" si="0">B3*C3</f>
        <v>19.989999999999998</v>
      </c>
      <c r="E3" t="s">
        <v>12</v>
      </c>
    </row>
    <row r="4" spans="1:5" x14ac:dyDescent="0.25">
      <c r="A4" s="3" t="s">
        <v>16</v>
      </c>
      <c r="B4" s="2">
        <v>1</v>
      </c>
      <c r="C4" s="5">
        <v>26.29</v>
      </c>
      <c r="D4" s="5">
        <f t="shared" si="0"/>
        <v>26.29</v>
      </c>
      <c r="E4" t="s">
        <v>15</v>
      </c>
    </row>
    <row r="5" spans="1:5" x14ac:dyDescent="0.25">
      <c r="A5" s="3" t="s">
        <v>10</v>
      </c>
      <c r="B5" s="2">
        <v>1</v>
      </c>
      <c r="C5" s="5">
        <v>99.99</v>
      </c>
      <c r="D5" s="5">
        <f t="shared" si="0"/>
        <v>99.99</v>
      </c>
      <c r="E5" t="s">
        <v>11</v>
      </c>
    </row>
    <row r="6" spans="1:5" x14ac:dyDescent="0.25">
      <c r="A6" s="3" t="s">
        <v>21</v>
      </c>
      <c r="B6" s="2">
        <v>1</v>
      </c>
      <c r="C6" s="5">
        <v>96.92</v>
      </c>
      <c r="D6" s="5">
        <f t="shared" si="0"/>
        <v>96.92</v>
      </c>
      <c r="E6" t="s">
        <v>25</v>
      </c>
    </row>
    <row r="7" spans="1:5" x14ac:dyDescent="0.25">
      <c r="A7" s="3" t="s">
        <v>27</v>
      </c>
      <c r="B7" s="2">
        <v>1</v>
      </c>
      <c r="C7" s="5">
        <v>13.99</v>
      </c>
      <c r="D7" s="5">
        <f t="shared" si="0"/>
        <v>13.99</v>
      </c>
      <c r="E7" t="s">
        <v>30</v>
      </c>
    </row>
    <row r="8" spans="1:5" x14ac:dyDescent="0.25">
      <c r="A8" s="3" t="s">
        <v>28</v>
      </c>
      <c r="B8" s="2">
        <v>1</v>
      </c>
      <c r="C8" s="5">
        <v>14.99</v>
      </c>
      <c r="D8" s="5">
        <f t="shared" si="0"/>
        <v>14.99</v>
      </c>
      <c r="E8" t="s">
        <v>29</v>
      </c>
    </row>
    <row r="9" spans="1:5" x14ac:dyDescent="0.25">
      <c r="A9" s="3" t="s">
        <v>22</v>
      </c>
      <c r="B9" s="2">
        <v>1</v>
      </c>
      <c r="C9" s="5">
        <v>13.39</v>
      </c>
      <c r="D9" s="5">
        <f t="shared" si="0"/>
        <v>13.39</v>
      </c>
      <c r="E9" t="s">
        <v>26</v>
      </c>
    </row>
    <row r="10" spans="1:5" x14ac:dyDescent="0.25">
      <c r="A10" s="3" t="s">
        <v>23</v>
      </c>
      <c r="B10" s="2">
        <v>1</v>
      </c>
      <c r="C10" s="5">
        <v>9.99</v>
      </c>
      <c r="D10" s="5">
        <f t="shared" si="0"/>
        <v>9.99</v>
      </c>
      <c r="E10" t="s">
        <v>24</v>
      </c>
    </row>
    <row r="11" spans="1:5" x14ac:dyDescent="0.25">
      <c r="A11" s="3" t="s">
        <v>5</v>
      </c>
      <c r="B11" s="2">
        <v>1</v>
      </c>
      <c r="C11" s="5">
        <v>29.99</v>
      </c>
      <c r="D11" s="5">
        <f t="shared" si="0"/>
        <v>29.99</v>
      </c>
      <c r="E11" t="s">
        <v>6</v>
      </c>
    </row>
    <row r="12" spans="1:5" x14ac:dyDescent="0.25">
      <c r="A12" s="3" t="s">
        <v>20</v>
      </c>
      <c r="B12" s="2">
        <v>2</v>
      </c>
      <c r="C12" s="5">
        <v>13.4</v>
      </c>
      <c r="D12" s="5">
        <f t="shared" si="0"/>
        <v>26.8</v>
      </c>
      <c r="E12" t="s">
        <v>19</v>
      </c>
    </row>
    <row r="13" spans="1:5" x14ac:dyDescent="0.25">
      <c r="A13" s="3" t="s">
        <v>18</v>
      </c>
      <c r="B13" s="2">
        <v>2</v>
      </c>
      <c r="C13" s="5">
        <v>4.22</v>
      </c>
      <c r="D13" s="5">
        <f t="shared" si="0"/>
        <v>8.44</v>
      </c>
      <c r="E13" t="s">
        <v>17</v>
      </c>
    </row>
    <row r="14" spans="1:5" x14ac:dyDescent="0.25">
      <c r="A14" s="3" t="s">
        <v>13</v>
      </c>
      <c r="B14" s="2">
        <v>1</v>
      </c>
      <c r="C14" s="5">
        <v>53.24</v>
      </c>
      <c r="D14" s="5">
        <f t="shared" si="0"/>
        <v>53.24</v>
      </c>
      <c r="E14" t="s">
        <v>14</v>
      </c>
    </row>
    <row r="15" spans="1:5" x14ac:dyDescent="0.25">
      <c r="A15" s="3" t="s">
        <v>31</v>
      </c>
      <c r="B15" s="2">
        <v>1</v>
      </c>
      <c r="C15" s="5">
        <v>11.79</v>
      </c>
      <c r="D15" s="5">
        <f t="shared" si="0"/>
        <v>11.79</v>
      </c>
      <c r="E15" t="s">
        <v>32</v>
      </c>
    </row>
    <row r="16" spans="1:5" x14ac:dyDescent="0.25">
      <c r="A16" s="3" t="s">
        <v>35</v>
      </c>
      <c r="B16" s="2">
        <v>1</v>
      </c>
      <c r="C16" s="5">
        <v>16.75</v>
      </c>
      <c r="D16" s="5">
        <f t="shared" si="0"/>
        <v>16.75</v>
      </c>
      <c r="E16" t="s">
        <v>36</v>
      </c>
    </row>
    <row r="17" spans="1:5" x14ac:dyDescent="0.25">
      <c r="A17" s="3" t="s">
        <v>33</v>
      </c>
      <c r="B17" s="2">
        <v>1</v>
      </c>
      <c r="C17" s="5">
        <v>14.99</v>
      </c>
      <c r="D17" s="5">
        <f t="shared" si="0"/>
        <v>14.99</v>
      </c>
      <c r="E17" t="s">
        <v>34</v>
      </c>
    </row>
    <row r="18" spans="1:5" x14ac:dyDescent="0.25">
      <c r="A18" s="3" t="s">
        <v>39</v>
      </c>
      <c r="B18" s="2" t="s">
        <v>38</v>
      </c>
      <c r="C18" s="5"/>
      <c r="D18" s="5"/>
    </row>
    <row r="19" spans="1:5" x14ac:dyDescent="0.25">
      <c r="A19" s="3"/>
      <c r="B19" s="2"/>
      <c r="C19" s="5"/>
      <c r="D19" s="5"/>
    </row>
    <row r="20" spans="1:5" ht="18.75" x14ac:dyDescent="0.3">
      <c r="A20" s="6" t="s">
        <v>37</v>
      </c>
      <c r="B20" s="2"/>
      <c r="C20" s="5"/>
      <c r="D20" s="7">
        <f>SUM(D2:D17)</f>
        <v>740.54000000000008</v>
      </c>
    </row>
    <row r="21" spans="1:5" x14ac:dyDescent="0.25">
      <c r="A21" s="3"/>
      <c r="B21" s="2"/>
      <c r="C21" s="5"/>
      <c r="D21" s="5"/>
    </row>
    <row r="22" spans="1:5" x14ac:dyDescent="0.25">
      <c r="A22" s="3"/>
      <c r="B22" s="2"/>
      <c r="C22" s="5"/>
      <c r="D22" s="5"/>
    </row>
    <row r="23" spans="1:5" x14ac:dyDescent="0.25">
      <c r="A23" s="3"/>
      <c r="B23" s="2"/>
      <c r="C23" s="5"/>
      <c r="D23" s="5"/>
    </row>
    <row r="24" spans="1:5" x14ac:dyDescent="0.25">
      <c r="A24" s="3"/>
      <c r="B24" s="2"/>
      <c r="C24" s="5"/>
      <c r="D24" s="5"/>
    </row>
    <row r="25" spans="1:5" x14ac:dyDescent="0.25">
      <c r="A25" s="3"/>
      <c r="B25" s="2"/>
      <c r="C25" s="5"/>
      <c r="D25" s="5"/>
    </row>
    <row r="26" spans="1:5" x14ac:dyDescent="0.25">
      <c r="A26" s="3"/>
      <c r="B26" s="2"/>
      <c r="C26" s="5"/>
      <c r="D26" s="5"/>
    </row>
    <row r="27" spans="1:5" x14ac:dyDescent="0.25">
      <c r="A27" s="3"/>
      <c r="B27" s="2"/>
      <c r="C27" s="5"/>
      <c r="D27" s="5"/>
    </row>
    <row r="28" spans="1:5" x14ac:dyDescent="0.25">
      <c r="A28" s="3"/>
      <c r="B28" s="2"/>
      <c r="C28" s="5"/>
      <c r="D28" s="5"/>
    </row>
    <row r="29" spans="1:5" x14ac:dyDescent="0.25">
      <c r="A29" s="3"/>
      <c r="B29" s="2"/>
      <c r="C29" s="5"/>
      <c r="D29" s="5"/>
    </row>
    <row r="30" spans="1:5" x14ac:dyDescent="0.25">
      <c r="A30" s="3"/>
      <c r="B30" s="2"/>
      <c r="C30" s="5"/>
      <c r="D30" s="5"/>
    </row>
    <row r="31" spans="1:5" x14ac:dyDescent="0.25">
      <c r="B31" s="2"/>
      <c r="C31" s="5"/>
      <c r="D31" s="5"/>
    </row>
    <row r="32" spans="1:5" x14ac:dyDescent="0.25">
      <c r="B32" s="2"/>
      <c r="C32" s="5"/>
      <c r="D32" s="5"/>
    </row>
    <row r="33" spans="2:4" x14ac:dyDescent="0.25">
      <c r="B33" s="2"/>
      <c r="C33" s="5"/>
      <c r="D33" s="5"/>
    </row>
    <row r="34" spans="2:4" x14ac:dyDescent="0.25">
      <c r="B34" s="2"/>
      <c r="C34" s="5"/>
      <c r="D34" s="5"/>
    </row>
    <row r="35" spans="2:4" x14ac:dyDescent="0.25">
      <c r="C35" s="5"/>
      <c r="D35" s="5"/>
    </row>
    <row r="36" spans="2:4" x14ac:dyDescent="0.25">
      <c r="C36" s="5"/>
      <c r="D36" s="5"/>
    </row>
    <row r="37" spans="2:4" x14ac:dyDescent="0.25">
      <c r="C37" s="5"/>
      <c r="D37" s="5"/>
    </row>
    <row r="38" spans="2:4" x14ac:dyDescent="0.25">
      <c r="C38" s="5"/>
      <c r="D38" s="5"/>
    </row>
    <row r="39" spans="2:4" x14ac:dyDescent="0.25">
      <c r="C39" s="5"/>
      <c r="D3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Kazim</dc:creator>
  <cp:lastModifiedBy>Kazim</cp:lastModifiedBy>
  <dcterms:created xsi:type="dcterms:W3CDTF">2021-04-23T19:52:07Z</dcterms:created>
  <dcterms:modified xsi:type="dcterms:W3CDTF">2021-04-23T20:55:30Z</dcterms:modified>
</cp:coreProperties>
</file>